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35" firstSheet="1" activeTab="4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3" i="7"/>
  <c r="B4" i="7"/>
  <c r="B5" i="7"/>
  <c r="B2" i="7"/>
  <c r="B2" i="4"/>
  <c r="B3" i="4"/>
  <c r="B4" i="4"/>
  <c r="B4" i="9"/>
  <c r="B3" i="9"/>
  <c r="B3" i="8"/>
  <c r="B6" i="8"/>
  <c r="B5" i="8"/>
  <c r="B4" i="8"/>
  <c r="B4" i="6" a="1"/>
  <c r="B4" i="6"/>
  <c r="B5" i="6" a="1"/>
  <c r="B5" i="6"/>
  <c r="B6" i="6" a="1"/>
  <c r="B6" i="6"/>
  <c r="B3" i="6" a="1"/>
  <c r="B3" i="6"/>
  <c r="B4" i="1"/>
  <c r="B5" i="1"/>
  <c r="B6" i="1"/>
  <c r="B3" i="1"/>
  <c r="I23" i="9"/>
  <c r="I22" i="9"/>
  <c r="H23" i="8"/>
  <c r="H22" i="8"/>
  <c r="I23" i="6"/>
  <c r="I22" i="6"/>
  <c r="H22" i="1"/>
  <c r="H23" i="1"/>
  <c r="C6" i="6"/>
  <c r="C5" i="6"/>
  <c r="C4" i="6"/>
  <c r="C3" i="6"/>
  <c r="B7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<sst xmlns="http://schemas.openxmlformats.org/spreadsheetml/2006/main" count="485" uniqueCount="92">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</sst>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B10" sqref="B10"/>
    </sheetView>
  </sheetViews>
  <sheetFormatPr defaultRowHeight="15" x14ac:dyDescent="0.25"/>
  <cols>
    <col min="1" max="1" width="15.85546875" customWidth="1"/>
    <col min="2" max="2" width="41.8554687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 x14ac:dyDescent="0.25">
      <c r="A3" t="s">
        <v>20</v>
      </c>
      <c r="B3" t="str">
        <f>_xlfn.XLOOKUP(A3,H2:H10,P2:P10)</f>
        <v>Toby.Flenderson@DunderMifflinCorporate.com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 x14ac:dyDescent="0.25">
      <c r="A4" t="s">
        <v>23</v>
      </c>
      <c r="B4" t="str">
        <f t="shared" ref="B4:B6" si="0">_xlfn.XLOOKUP(A4,H3:H11,P3:P11)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 x14ac:dyDescent="0.25">
      <c r="A5" t="s">
        <v>35</v>
      </c>
      <c r="B5" t="str">
        <f t="shared" si="0"/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 x14ac:dyDescent="0.25">
      <c r="A6" t="s">
        <v>43</v>
      </c>
      <c r="B6" t="str">
        <f t="shared" si="0"/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 x14ac:dyDescent="0.25">
      <c r="E7">
        <v>1006</v>
      </c>
      <c r="F7" t="s">
        <v>50</v>
      </c>
      <c r="G7" t="s">
        <v>51</v>
      </c>
      <c r="H7" t="s">
        <v>52</v>
      </c>
      <c r="I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 x14ac:dyDescent="0.25">
      <c r="E8">
        <v>1007</v>
      </c>
      <c r="F8" t="s">
        <v>56</v>
      </c>
      <c r="G8" t="s">
        <v>57</v>
      </c>
      <c r="H8" t="s">
        <v>35</v>
      </c>
      <c r="I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 x14ac:dyDescent="0.25">
      <c r="E9">
        <v>1008</v>
      </c>
      <c r="F9" t="s">
        <v>61</v>
      </c>
      <c r="G9" t="s">
        <v>62</v>
      </c>
      <c r="H9" t="s">
        <v>63</v>
      </c>
      <c r="I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 x14ac:dyDescent="0.25">
      <c r="E10">
        <v>1009</v>
      </c>
      <c r="F10" t="s">
        <v>67</v>
      </c>
      <c r="G10" t="s">
        <v>68</v>
      </c>
      <c r="H10" t="s">
        <v>43</v>
      </c>
      <c r="I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C10" sqref="C10"/>
    </sheetView>
  </sheetViews>
  <sheetFormatPr defaultRowHeight="15" x14ac:dyDescent="0.25"/>
  <cols>
    <col min="1" max="1" width="14.7109375" bestFit="1" customWidth="1"/>
    <col min="2" max="2" width="11.28515625" customWidth="1"/>
    <col min="3" max="3" width="47.42578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 x14ac:dyDescent="0.25">
      <c r="A3" t="s">
        <v>20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 x14ac:dyDescent="0.25">
      <c r="A4" t="s">
        <v>23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 x14ac:dyDescent="0.25">
      <c r="A5" t="s">
        <v>35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 x14ac:dyDescent="0.25">
      <c r="A6" t="s">
        <v>43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 x14ac:dyDescent="0.25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 x14ac:dyDescent="0.25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 x14ac:dyDescent="0.25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 x14ac:dyDescent="0.25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B4" sqref="B4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 x14ac:dyDescent="0.25">
      <c r="A3" t="s">
        <v>71</v>
      </c>
      <c r="B3" t="str">
        <f>_xlfn.XLOOKUP(A3&amp; "*",H2:H10,O2:O10,"Not Found",2)</f>
        <v>Toby.Flenderson@DunderMifflinCorporate.com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K3" t="s">
        <v>25</v>
      </c>
      <c r="L3">
        <v>36000</v>
      </c>
      <c r="M3" s="1" t="s">
        <v>26</v>
      </c>
      <c r="N3" s="1" t="s">
        <v>27</v>
      </c>
      <c r="O3" s="2" t="s">
        <v>28</v>
      </c>
    </row>
    <row r="4" spans="1:15" x14ac:dyDescent="0.25">
      <c r="A4" t="s">
        <v>22</v>
      </c>
      <c r="B4" t="str">
        <f>_xlfn.XLOOKUP("*"&amp; A4,H2:H11,O2:O11,"Not Found",2)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K4" t="s">
        <v>16</v>
      </c>
      <c r="L4">
        <v>63000</v>
      </c>
      <c r="M4" s="1" t="s">
        <v>32</v>
      </c>
      <c r="N4" s="1" t="s">
        <v>33</v>
      </c>
      <c r="O4" s="2" t="s">
        <v>34</v>
      </c>
    </row>
    <row r="5" spans="1:15" x14ac:dyDescent="0.25">
      <c r="A5" t="s">
        <v>56</v>
      </c>
      <c r="B5" t="str">
        <f>_xlfn.XLOOKUP(A5 &amp; "*",H2:H12,O2:O12,"Not Found",2)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 x14ac:dyDescent="0.25">
      <c r="A6" t="s">
        <v>72</v>
      </c>
      <c r="B6" t="str">
        <f>_xlfn.XLOOKUP(A6 &amp; "*",H3:H13,O3:O13,"Not Found",2)</f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1:15" x14ac:dyDescent="0.2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1:15" x14ac:dyDescent="0.25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1:15" x14ac:dyDescent="0.2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1:15" x14ac:dyDescent="0.25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K10" t="s">
        <v>39</v>
      </c>
      <c r="L10">
        <v>42000</v>
      </c>
      <c r="M10" s="1" t="s">
        <v>69</v>
      </c>
      <c r="N10" s="1" t="s">
        <v>65</v>
      </c>
      <c r="O10" s="2" t="s">
        <v>70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 t="s">
        <v>73</v>
      </c>
      <c r="B2" t="s">
        <v>74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 x14ac:dyDescent="0.25">
      <c r="A3" s="1" t="s">
        <v>75</v>
      </c>
      <c r="B3" t="str">
        <f>_xlfn.XLOOKUP(A3,N2:N10,I2:I10,,1)</f>
        <v>Angela Martin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 x14ac:dyDescent="0.25">
      <c r="A4" s="1" t="s">
        <v>47</v>
      </c>
      <c r="B4" t="str">
        <f>_xlfn.XLOOKUP(A4,N2:N10,I2:I10,,,-1)</f>
        <v>Michael Scott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 x14ac:dyDescent="0.25"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 x14ac:dyDescent="0.25"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 x14ac:dyDescent="0.25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 x14ac:dyDescent="0.25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 x14ac:dyDescent="0.25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 x14ac:dyDescent="0.25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topLeftCell="B1" workbookViewId="0">
      <selection activeCell="B2" sqref="B2:B4"/>
    </sheetView>
  </sheetViews>
  <sheetFormatPr defaultColWidth="10.140625" defaultRowHeight="15" x14ac:dyDescent="0.25"/>
  <cols>
    <col min="2" max="2" width="18.85546875" bestFit="1" customWidth="1"/>
    <col min="7" max="7" width="12.140625" bestFit="1" customWidth="1"/>
  </cols>
  <sheetData>
    <row r="1" spans="1:19" x14ac:dyDescent="0.25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 x14ac:dyDescent="0.25">
      <c r="A2" t="s">
        <v>88</v>
      </c>
      <c r="B2">
        <f>_xlfn.XLOOKUP(I1,H1:S1,H2:S2)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89</v>
      </c>
      <c r="B3">
        <f t="shared" ref="B3:B4" si="0">_xlfn.XLOOKUP(I2,H2:S2,H3:S3)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90</v>
      </c>
      <c r="B4">
        <f t="shared" si="0"/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B8" sqref="B8"/>
    </sheetView>
  </sheetViews>
  <sheetFormatPr defaultColWidth="10.140625" defaultRowHeight="15" x14ac:dyDescent="0.25"/>
  <cols>
    <col min="2" max="2" width="36.5703125" bestFit="1" customWidth="1"/>
    <col min="7" max="7" width="12.140625" bestFit="1" customWidth="1"/>
  </cols>
  <sheetData>
    <row r="1" spans="1:19" x14ac:dyDescent="0.25">
      <c r="B1" t="s">
        <v>76</v>
      </c>
      <c r="H1" t="s">
        <v>77</v>
      </c>
      <c r="I1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</row>
    <row r="2" spans="1:19" x14ac:dyDescent="0.25">
      <c r="A2" t="s">
        <v>88</v>
      </c>
      <c r="B2">
        <f>_xlfn.XLOOKUP(I1,H1:S1,H2:S2)</f>
        <v>310</v>
      </c>
      <c r="G2" t="s">
        <v>88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89</v>
      </c>
      <c r="B3">
        <f t="shared" ref="B3:B5" si="0">_xlfn.XLOOKUP(I2,H2:S2,H3:S3)</f>
        <v>40</v>
      </c>
      <c r="G3" t="s">
        <v>89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90</v>
      </c>
      <c r="B4">
        <f t="shared" si="0"/>
        <v>118</v>
      </c>
      <c r="G4" t="s">
        <v>90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5" spans="1:19" x14ac:dyDescent="0.25">
      <c r="B5">
        <f t="shared" si="0"/>
        <v>0</v>
      </c>
    </row>
    <row r="6" spans="1:19" x14ac:dyDescent="0.25">
      <c r="B6" t="s">
        <v>91</v>
      </c>
    </row>
    <row r="7" spans="1:19" x14ac:dyDescent="0.25">
      <c r="A7" t="s">
        <v>88</v>
      </c>
      <c r="B7" s="3" t="e">
        <f ca="1">SUM(_xlfn.XLOOKUP(I1,H1:S1,H2:S2):_xlfn.XLOOKUP(J1,H1:S1,H2:S2))</f>
        <v>#NAME?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B3" sqref="B3"/>
    </sheetView>
  </sheetViews>
  <sheetFormatPr defaultRowHeight="15" x14ac:dyDescent="0.25"/>
  <cols>
    <col min="1" max="1" width="14.42578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2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 x14ac:dyDescent="0.25">
      <c r="A3" t="s">
        <v>31</v>
      </c>
      <c r="B3" t="str">
        <f>VLOOKUP(A3,H1:P10,9,"false")</f>
        <v>Dwight.Schrute@AOL.com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 x14ac:dyDescent="0.25">
      <c r="A4" t="s">
        <v>52</v>
      </c>
      <c r="B4" t="str">
        <f t="shared" ref="B4:B5" si="0">VLOOKUP(A4,H2:P11,9,"false")</f>
        <v>Michael.Scott@DunderMifflin.com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 x14ac:dyDescent="0.25">
      <c r="A5" t="s">
        <v>63</v>
      </c>
      <c r="B5" t="str">
        <f t="shared" si="0"/>
        <v>Stanley.Hudson@gmail.com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 x14ac:dyDescent="0.25"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 x14ac:dyDescent="0.2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 x14ac:dyDescent="0.25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 x14ac:dyDescent="0.2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 x14ac:dyDescent="0.25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HP</cp:lastModifiedBy>
  <cp:revision/>
  <dcterms:created xsi:type="dcterms:W3CDTF">2021-12-20T02:45:32Z</dcterms:created>
  <dcterms:modified xsi:type="dcterms:W3CDTF">2026-02-18T06:22:11Z</dcterms:modified>
  <cp:category/>
  <cp:contentStatus/>
</cp:coreProperties>
</file>